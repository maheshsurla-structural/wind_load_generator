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wind_load_generator\Spread sheet\"/>
    </mc:Choice>
  </mc:AlternateContent>
  <xr:revisionPtr revIDLastSave="0" documentId="13_ncr:1_{990C3AA0-7D76-404C-B971-34DF15C8A2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ind Loa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B32" i="1"/>
  <c r="B33" i="1"/>
  <c r="B34" i="1"/>
  <c r="B35" i="1"/>
  <c r="B31" i="1"/>
  <c r="F17" i="1" l="1"/>
  <c r="F16" i="1"/>
  <c r="F15" i="1"/>
  <c r="G15" i="1" s="1"/>
  <c r="E17" i="1"/>
  <c r="E14" i="1"/>
  <c r="G16" i="1"/>
  <c r="D17" i="1"/>
  <c r="D14" i="1"/>
  <c r="G3" i="1"/>
  <c r="C14" i="1" s="1"/>
  <c r="C17" i="1" s="1"/>
  <c r="G17" i="1" l="1"/>
  <c r="G14" i="1"/>
  <c r="C32" i="1" l="1"/>
  <c r="E32" i="1"/>
  <c r="E31" i="1"/>
  <c r="C31" i="1"/>
  <c r="C33" i="1"/>
  <c r="C35" i="1"/>
  <c r="E33" i="1"/>
  <c r="C34" i="1"/>
  <c r="E34" i="1"/>
  <c r="E35" i="1"/>
</calcChain>
</file>

<file path=xl/sharedStrings.xml><?xml version="1.0" encoding="utf-8"?>
<sst xmlns="http://schemas.openxmlformats.org/spreadsheetml/2006/main" count="28" uniqueCount="26">
  <si>
    <t>Load Case</t>
  </si>
  <si>
    <t>Gust Wind Speed</t>
  </si>
  <si>
    <t>Kz</t>
  </si>
  <si>
    <t>G</t>
  </si>
  <si>
    <t>Cd</t>
  </si>
  <si>
    <t>Pz (ksf)</t>
  </si>
  <si>
    <t>Strength III</t>
  </si>
  <si>
    <t>Strength V</t>
  </si>
  <si>
    <t>Service I</t>
  </si>
  <si>
    <t>Service IV</t>
  </si>
  <si>
    <t>Wind Parameters</t>
  </si>
  <si>
    <t>Exposure Category</t>
  </si>
  <si>
    <t>Structural Height</t>
  </si>
  <si>
    <t>C</t>
  </si>
  <si>
    <t>Wind Speed</t>
  </si>
  <si>
    <t>Wind Pressures</t>
  </si>
  <si>
    <t>Gust factor</t>
  </si>
  <si>
    <t>Drag Coefficient</t>
  </si>
  <si>
    <t>Skew Coefficients</t>
  </si>
  <si>
    <t>Skew Angle 
(degree)</t>
  </si>
  <si>
    <t>Transverse Skew Coefficient</t>
  </si>
  <si>
    <t>Longitudinal Skew 
Coefficient</t>
  </si>
  <si>
    <t>Width for loading along Transverse</t>
  </si>
  <si>
    <t>Width for loading along Longitudinal</t>
  </si>
  <si>
    <t>Transverse Force Component</t>
  </si>
  <si>
    <t>Longitudinal Force Component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</si>
</sst>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&quot;mph&quot;"/>
    <numFmt numFmtId="165" formatCode="#\ &quot;ft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tabSelected="1" topLeftCell="A9" zoomScaleNormal="100" workbookViewId="0">
      <selection activeCell="G6" sqref="G6"/>
    </sheetView>
  </sheetViews>
  <sheetFormatPr defaultRowHeight="15" x14ac:dyDescent="0.25"/>
  <cols>
    <col min="1" max="1" width="9.140625" style="1"/>
    <col min="2" max="2" width="17.85546875" style="2" bestFit="1" customWidth="1"/>
    <col min="3" max="3" width="16.28515625" style="2" bestFit="1" customWidth="1"/>
    <col min="4" max="16384" width="9.140625" style="2"/>
  </cols>
  <sheetData>
    <row r="1" spans="1:7" ht="15.75" thickBot="1" x14ac:dyDescent="0.3"/>
    <row r="2" spans="1:7" s="12" customFormat="1" ht="20.25" thickTop="1" thickBot="1" x14ac:dyDescent="0.35">
      <c r="A2" s="20">
        <v>1</v>
      </c>
      <c r="B2" s="35" t="s">
        <v>10</v>
      </c>
      <c r="C2" s="36"/>
      <c r="D2" s="36"/>
      <c r="E2" s="36"/>
      <c r="F2" s="36"/>
      <c r="G2" s="37"/>
    </row>
    <row r="3" spans="1:7" ht="15.75" thickTop="1" x14ac:dyDescent="0.25">
      <c r="B3" s="13" t="s">
        <v>14</v>
      </c>
      <c r="C3" s="3"/>
      <c r="D3" s="3"/>
      <c r="E3" s="3"/>
      <c r="F3" s="3"/>
      <c r="G3" s="15">
        <f>150</f>
        <v>150</v>
      </c>
    </row>
    <row r="4" spans="1:7" x14ac:dyDescent="0.25">
      <c r="B4" s="4" t="s">
        <v>11</v>
      </c>
      <c r="C4" s="5"/>
      <c r="D4" s="5"/>
      <c r="E4" s="5"/>
      <c r="F4" s="5"/>
      <c r="G4" s="6" t="s">
        <v>13</v>
      </c>
    </row>
    <row r="5" spans="1:7" x14ac:dyDescent="0.25">
      <c r="B5" s="4" t="s">
        <v>12</v>
      </c>
      <c r="C5" s="5"/>
      <c r="D5" s="5"/>
      <c r="E5" s="5"/>
      <c r="F5" s="5"/>
      <c r="G5" s="16">
        <v>40</v>
      </c>
    </row>
    <row r="6" spans="1:7" x14ac:dyDescent="0.25">
      <c r="B6" s="4" t="s">
        <v>16</v>
      </c>
      <c r="C6" s="5"/>
      <c r="D6" s="5"/>
      <c r="E6" s="5"/>
      <c r="F6" s="5"/>
      <c r="G6" s="6">
        <v>0.85</v>
      </c>
    </row>
    <row r="7" spans="1:7" x14ac:dyDescent="0.25">
      <c r="B7" s="4" t="s">
        <v>17</v>
      </c>
      <c r="C7" s="5"/>
      <c r="D7" s="5"/>
      <c r="E7" s="5"/>
      <c r="F7" s="5"/>
      <c r="G7" s="6">
        <v>1.6</v>
      </c>
    </row>
    <row r="8" spans="1:7" x14ac:dyDescent="0.25">
      <c r="B8" s="21" t="s">
        <v>22</v>
      </c>
      <c r="C8" s="5"/>
      <c r="D8" s="5"/>
      <c r="E8" s="5"/>
      <c r="F8" s="5"/>
      <c r="G8" s="16">
        <v>9</v>
      </c>
    </row>
    <row r="9" spans="1:7" ht="15.75" thickBot="1" x14ac:dyDescent="0.3">
      <c r="B9" s="22" t="s">
        <v>23</v>
      </c>
      <c r="C9" s="8"/>
      <c r="D9" s="8"/>
      <c r="E9" s="8"/>
      <c r="F9" s="8"/>
      <c r="G9" s="9">
        <v>9</v>
      </c>
    </row>
    <row r="10" spans="1:7" ht="15.75" thickTop="1" x14ac:dyDescent="0.25"/>
    <row r="11" spans="1:7" ht="15.75" thickBot="1" x14ac:dyDescent="0.3"/>
    <row r="12" spans="1:7" s="12" customFormat="1" ht="20.25" thickTop="1" thickBot="1" x14ac:dyDescent="0.35">
      <c r="A12" s="20">
        <v>2</v>
      </c>
      <c r="B12" s="35" t="s">
        <v>15</v>
      </c>
      <c r="C12" s="36"/>
      <c r="D12" s="36"/>
      <c r="E12" s="36"/>
      <c r="F12" s="36"/>
      <c r="G12" s="37"/>
    </row>
    <row r="13" spans="1:7" ht="16.5" thickTop="1" thickBot="1" x14ac:dyDescent="0.3">
      <c r="B13" s="18" t="s">
        <v>0</v>
      </c>
      <c r="C13" s="18" t="s">
        <v>1</v>
      </c>
      <c r="D13" s="18" t="s">
        <v>2</v>
      </c>
      <c r="E13" s="18" t="s">
        <v>3</v>
      </c>
      <c r="F13" s="18" t="s">
        <v>4</v>
      </c>
      <c r="G13" s="18" t="s">
        <v>5</v>
      </c>
    </row>
    <row r="14" spans="1:7" ht="15.75" thickTop="1" x14ac:dyDescent="0.25">
      <c r="B14" s="10" t="s">
        <v>6</v>
      </c>
      <c r="C14" s="11">
        <f>G3</f>
        <v>150</v>
      </c>
      <c r="D14" s="11">
        <f>IF($G$4="B",(2.5*LN($G$5/0.9834)+6.87)^2/345.6,IF($G$4="C",(2.5*LN($G$5/0.0984)+7.35)^2/478.4,(2.5*LN($G$5/0.0164)+7.65)^2/616.1))</f>
        <v>1.0459270108559164</v>
      </c>
      <c r="E14" s="11">
        <f>$G$6</f>
        <v>0.85</v>
      </c>
      <c r="F14" s="11">
        <f>$G$7</f>
        <v>1.6</v>
      </c>
      <c r="G14" s="17">
        <f>2.56*10^-6*C14^2*D14*E14*F14</f>
        <v>8.1933738322409078E-2</v>
      </c>
    </row>
    <row r="15" spans="1:7" x14ac:dyDescent="0.25">
      <c r="B15" s="4" t="s">
        <v>7</v>
      </c>
      <c r="C15" s="5">
        <v>80</v>
      </c>
      <c r="D15" s="5">
        <v>1</v>
      </c>
      <c r="E15" s="5">
        <v>1</v>
      </c>
      <c r="F15" s="5">
        <f t="shared" ref="F15:F17" si="0">$G$7</f>
        <v>1.6</v>
      </c>
      <c r="G15" s="6">
        <f t="shared" ref="G15:G17" si="1">2.56*10^-6*C15^2*D15*E15*F15</f>
        <v>2.6214399999999999E-2</v>
      </c>
    </row>
    <row r="16" spans="1:7" x14ac:dyDescent="0.25">
      <c r="B16" s="4" t="s">
        <v>8</v>
      </c>
      <c r="C16" s="5">
        <v>70</v>
      </c>
      <c r="D16" s="5">
        <v>1</v>
      </c>
      <c r="E16" s="5">
        <v>1</v>
      </c>
      <c r="F16" s="5">
        <f t="shared" si="0"/>
        <v>1.6</v>
      </c>
      <c r="G16" s="6">
        <f t="shared" si="1"/>
        <v>2.0070400000000002E-2</v>
      </c>
    </row>
    <row r="17" spans="1:7" ht="15.75" thickBot="1" x14ac:dyDescent="0.3">
      <c r="B17" s="7" t="s">
        <v>9</v>
      </c>
      <c r="C17" s="8">
        <f>C14*0.75</f>
        <v>112.5</v>
      </c>
      <c r="D17" s="8">
        <f>IF($G$4="B",(2.5*LN($G$5/0.9834)+6.87)^2/345.6,IF($G$4="C",(2.5*LN($G$5/0.0984)+7.35)^2/478.4,(2.5*LN($G$5/0.0164)+7.65)^2/616.1))</f>
        <v>1.0459270108559164</v>
      </c>
      <c r="E17" s="8">
        <f>$G$6</f>
        <v>0.85</v>
      </c>
      <c r="F17" s="8">
        <f t="shared" si="0"/>
        <v>1.6</v>
      </c>
      <c r="G17" s="14">
        <f t="shared" si="1"/>
        <v>4.6087727806355103E-2</v>
      </c>
    </row>
    <row r="18" spans="1:7" ht="15.75" thickTop="1" x14ac:dyDescent="0.25"/>
    <row r="19" spans="1:7" ht="15.75" thickBot="1" x14ac:dyDescent="0.3"/>
    <row r="20" spans="1:7" s="12" customFormat="1" ht="20.25" thickTop="1" thickBot="1" x14ac:dyDescent="0.35">
      <c r="A20" s="20">
        <v>3</v>
      </c>
      <c r="B20" s="35" t="s">
        <v>18</v>
      </c>
      <c r="C20" s="36"/>
      <c r="D20" s="36"/>
      <c r="E20" s="36"/>
      <c r="F20" s="36"/>
      <c r="G20" s="37"/>
    </row>
    <row r="21" spans="1:7" ht="31.5" thickTop="1" thickBot="1" x14ac:dyDescent="0.3">
      <c r="B21" s="19" t="s">
        <v>19</v>
      </c>
      <c r="C21" s="32" t="s">
        <v>20</v>
      </c>
      <c r="D21" s="32"/>
      <c r="E21" s="32" t="s">
        <v>21</v>
      </c>
      <c r="F21" s="32"/>
      <c r="G21" s="32"/>
    </row>
    <row r="22" spans="1:7" ht="15.75" thickTop="1" x14ac:dyDescent="0.25">
      <c r="B22" s="10">
        <v>0</v>
      </c>
      <c r="C22" s="33">
        <v>1</v>
      </c>
      <c r="D22" s="33"/>
      <c r="E22" s="33">
        <v>0</v>
      </c>
      <c r="F22" s="33"/>
      <c r="G22" s="34"/>
    </row>
    <row r="23" spans="1:7" x14ac:dyDescent="0.25">
      <c r="B23" s="4">
        <v>15</v>
      </c>
      <c r="C23" s="25">
        <v>0.88</v>
      </c>
      <c r="D23" s="25"/>
      <c r="E23" s="25">
        <v>0.12</v>
      </c>
      <c r="F23" s="25"/>
      <c r="G23" s="26"/>
    </row>
    <row r="24" spans="1:7" x14ac:dyDescent="0.25">
      <c r="B24" s="4">
        <v>30</v>
      </c>
      <c r="C24" s="25">
        <v>0.82</v>
      </c>
      <c r="D24" s="25"/>
      <c r="E24" s="25">
        <v>0.24</v>
      </c>
      <c r="F24" s="25"/>
      <c r="G24" s="26"/>
    </row>
    <row r="25" spans="1:7" x14ac:dyDescent="0.25">
      <c r="B25" s="4">
        <v>45</v>
      </c>
      <c r="C25" s="25">
        <v>0.66</v>
      </c>
      <c r="D25" s="25"/>
      <c r="E25" s="25">
        <v>0.32</v>
      </c>
      <c r="F25" s="25"/>
      <c r="G25" s="26"/>
    </row>
    <row r="26" spans="1:7" ht="15.75" thickBot="1" x14ac:dyDescent="0.3">
      <c r="B26" s="7">
        <v>60</v>
      </c>
      <c r="C26" s="27">
        <v>0.34</v>
      </c>
      <c r="D26" s="27"/>
      <c r="E26" s="27">
        <v>0.38</v>
      </c>
      <c r="F26" s="27"/>
      <c r="G26" s="28"/>
    </row>
    <row r="27" spans="1:7" ht="15.75" thickTop="1" x14ac:dyDescent="0.25"/>
    <row r="28" spans="1:7" ht="15.75" thickBot="1" x14ac:dyDescent="0.3"/>
    <row r="29" spans="1:7" s="12" customFormat="1" ht="20.25" thickTop="1" thickBot="1" x14ac:dyDescent="0.35">
      <c r="A29" s="20">
        <v>4</v>
      </c>
      <c r="B29" s="29" t="s">
        <v>6</v>
      </c>
      <c r="C29" s="30"/>
      <c r="D29" s="30"/>
      <c r="E29" s="30"/>
      <c r="F29" s="30"/>
      <c r="G29" s="31"/>
    </row>
    <row r="30" spans="1:7" ht="31.5" thickTop="1" thickBot="1" x14ac:dyDescent="0.3">
      <c r="B30" s="19" t="s">
        <v>19</v>
      </c>
      <c r="C30" s="32" t="s">
        <v>24</v>
      </c>
      <c r="D30" s="32"/>
      <c r="E30" s="32" t="s">
        <v>25</v>
      </c>
      <c r="F30" s="32"/>
      <c r="G30" s="32"/>
    </row>
    <row r="31" spans="1:7" ht="16.5" thickTop="1" thickBot="1" x14ac:dyDescent="0.3">
      <c r="B31" s="13">
        <f>B22</f>
        <v>0</v>
      </c>
      <c r="C31" s="23">
        <f>$G$14*C22*$G$8*COS(RADIANS(B31))</f>
        <v>0.73740364490168164</v>
      </c>
      <c r="D31" s="23"/>
      <c r="E31" s="23">
        <f>$G$14*E22*$G$9*SIN(RADIANS(B31))</f>
        <v>0</v>
      </c>
      <c r="F31" s="23"/>
      <c r="G31" s="24"/>
    </row>
    <row r="32" spans="1:7" ht="16.5" thickTop="1" thickBot="1" x14ac:dyDescent="0.3">
      <c r="B32" s="4">
        <f t="shared" ref="B32:B35" si="2">B23</f>
        <v>15</v>
      </c>
      <c r="C32" s="23">
        <f>$G$14*C23*$G$8*COS(RADIANS(B32))</f>
        <v>0.62680395800900024</v>
      </c>
      <c r="D32" s="23"/>
      <c r="E32" s="23">
        <f t="shared" ref="E32:E35" si="3">$G$14*E23*$G$9*SIN(RADIANS(B32))</f>
        <v>2.2902492867428587E-2</v>
      </c>
      <c r="F32" s="23"/>
      <c r="G32" s="24"/>
    </row>
    <row r="33" spans="2:7" ht="16.5" thickTop="1" thickBot="1" x14ac:dyDescent="0.3">
      <c r="B33" s="4">
        <f t="shared" si="2"/>
        <v>30</v>
      </c>
      <c r="C33" s="23">
        <f t="shared" ref="C33:C35" si="4">$G$14*C24*$G$8*COS(RADIANS(B33))</f>
        <v>0.52366043724903855</v>
      </c>
      <c r="D33" s="23"/>
      <c r="E33" s="23">
        <f t="shared" si="3"/>
        <v>8.8488437388201793E-2</v>
      </c>
      <c r="F33" s="23"/>
      <c r="G33" s="24"/>
    </row>
    <row r="34" spans="2:7" ht="16.5" thickTop="1" thickBot="1" x14ac:dyDescent="0.3">
      <c r="B34" s="4">
        <f t="shared" si="2"/>
        <v>45</v>
      </c>
      <c r="C34" s="23">
        <f t="shared" si="4"/>
        <v>0.34413925773589299</v>
      </c>
      <c r="D34" s="23"/>
      <c r="E34" s="23">
        <f t="shared" si="3"/>
        <v>0.16685539769012991</v>
      </c>
      <c r="F34" s="23"/>
      <c r="G34" s="24"/>
    </row>
    <row r="35" spans="2:7" ht="16.5" thickTop="1" thickBot="1" x14ac:dyDescent="0.3">
      <c r="B35" s="7">
        <f t="shared" si="2"/>
        <v>60</v>
      </c>
      <c r="C35" s="23">
        <f t="shared" si="4"/>
        <v>0.12535861963328593</v>
      </c>
      <c r="D35" s="23"/>
      <c r="E35" s="23">
        <f t="shared" si="3"/>
        <v>0.24267190994467636</v>
      </c>
      <c r="F35" s="23"/>
      <c r="G35" s="24"/>
    </row>
    <row r="36" spans="2:7" ht="15.75" thickTop="1" x14ac:dyDescent="0.25"/>
  </sheetData>
  <mergeCells count="28">
    <mergeCell ref="E22:G22"/>
    <mergeCell ref="B2:G2"/>
    <mergeCell ref="B12:G12"/>
    <mergeCell ref="B20:G20"/>
    <mergeCell ref="C21:D21"/>
    <mergeCell ref="E21:G21"/>
    <mergeCell ref="C22:D22"/>
    <mergeCell ref="C30:D30"/>
    <mergeCell ref="E30:G30"/>
    <mergeCell ref="C23:D23"/>
    <mergeCell ref="C24:D24"/>
    <mergeCell ref="C25:D25"/>
    <mergeCell ref="C26:D26"/>
    <mergeCell ref="E23:G23"/>
    <mergeCell ref="E24:G24"/>
    <mergeCell ref="E25:G25"/>
    <mergeCell ref="E26:G26"/>
    <mergeCell ref="B29:G29"/>
    <mergeCell ref="C34:D34"/>
    <mergeCell ref="E34:G34"/>
    <mergeCell ref="C35:D35"/>
    <mergeCell ref="E35:G35"/>
    <mergeCell ref="C31:D31"/>
    <mergeCell ref="E31:G31"/>
    <mergeCell ref="C32:D32"/>
    <mergeCell ref="E32:G32"/>
    <mergeCell ref="C33:D33"/>
    <mergeCell ref="E33:G33"/>
  </mergeCells>
  <dataValidations count="1">
    <dataValidation type="list" allowBlank="1" showInputMessage="1" showErrorMessage="1" sqref="G4" xr:uid="{B4A8B5EF-A2F7-493D-80D0-9C0BBC970D7B}">
      <formula1>"B, C, 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Wind Load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Mahesh</dc:creator>
  <cp:lastModifiedBy>Mahesh Surla</cp:lastModifiedBy>
  <dcterms:created xsi:type="dcterms:W3CDTF">2015-06-05T18:17:20Z</dcterms:created>
  <dcterms:modified xsi:type="dcterms:W3CDTF">2025-11-29T03:30:29Z</dcterms:modified>
</cp:coreProperties>
</file>