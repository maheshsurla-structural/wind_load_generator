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ind_load_generator\Spread sheet\"/>
    </mc:Choice>
  </mc:AlternateContent>
  <xr:revisionPtr revIDLastSave="0" documentId="13_ncr:1_{EB7EBF96-8561-47B2-A30D-DE888E7BF3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ind 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  <c r="D11" i="1"/>
  <c r="D8" i="1"/>
  <c r="C8" i="1"/>
  <c r="C11" i="1" s="1"/>
  <c r="D3" i="1"/>
</calcChain>
</file>

<file path=xl/sharedStrings.xml><?xml version="1.0" encoding="utf-8"?>
<sst xmlns="http://schemas.openxmlformats.org/spreadsheetml/2006/main" count="15" uniqueCount="15">
  <si>
    <t>Load Case</t>
  </si>
  <si>
    <t>Gust Wind Speed</t>
  </si>
  <si>
    <t>Kz</t>
  </si>
  <si>
    <t>G</t>
  </si>
  <si>
    <t>Cd</t>
  </si>
  <si>
    <t>Pz (ksf)</t>
  </si>
  <si>
    <t>Strength III</t>
  </si>
  <si>
    <t>Strength V</t>
  </si>
  <si>
    <t>Service I</t>
  </si>
  <si>
    <t>Service IV</t>
  </si>
  <si>
    <t>Wind Parameters</t>
  </si>
  <si>
    <t>Exposure Category</t>
  </si>
  <si>
    <t>Structural Height</t>
  </si>
  <si>
    <t>C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</si>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</sst>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&quot;mph&quot;"/>
    <numFmt numFmtId="165" formatCode="#\ &quot;ft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tabSelected="1" zoomScaleNormal="100" workbookViewId="0">
      <selection activeCell="Q11" sqref="Q11"/>
    </sheetView>
  </sheetViews>
  <sheetFormatPr defaultRowHeight="15" x14ac:dyDescent="0.25"/>
  <cols>
    <col min="1" max="1" width="9.140625" style="1"/>
    <col min="2" max="2" width="17.85546875" style="1" bestFit="1" customWidth="1"/>
    <col min="3" max="3" width="16.28515625" style="1" bestFit="1" customWidth="1"/>
    <col min="4" max="16384" width="9.140625" style="1"/>
  </cols>
  <sheetData>
    <row r="2" spans="2:7" x14ac:dyDescent="0.25">
      <c r="B2" s="1" t="s">
        <v>10</v>
      </c>
    </row>
    <row r="3" spans="2:7" x14ac:dyDescent="0.25">
      <c r="B3" s="1" t="s">
        <v>14</v>
      </c>
      <c r="D3" s="2">
        <f>150</f>
        <v>150</v>
      </c>
    </row>
    <row r="4" spans="2:7" x14ac:dyDescent="0.25">
      <c r="B4" s="1" t="s">
        <v>11</v>
      </c>
      <c r="D4" s="1" t="s">
        <v>13</v>
      </c>
    </row>
    <row r="5" spans="2:7" x14ac:dyDescent="0.25">
      <c r="B5" s="1" t="s">
        <v>12</v>
      </c>
      <c r="D5" s="3">
        <v>40</v>
      </c>
    </row>
    <row r="7" spans="2:7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</row>
    <row r="8" spans="2:7" x14ac:dyDescent="0.25">
      <c r="B8" s="1" t="s">
        <v>6</v>
      </c>
      <c r="C8" s="1">
        <f>D3</f>
        <v>150</v>
      </c>
      <c r="D8" s="1">
        <f>IF($D$4="B",(2.5*LN($D$5/0.9834)+6.87)^2/345.6,IF($D$4="C",(2.5*LN($D$5/0.0984)+7.35)^2/478.4,(2.5*LN($D$5/0.0164)+7.65)^2/616.1))</f>
        <v>1.0459270108559164</v>
      </c>
      <c r="E8" s="1">
        <v>0.85</v>
      </c>
      <c r="F8" s="1">
        <v>1.3</v>
      </c>
      <c r="G8" s="1">
        <f>2.56*10^-6*C8^2*D8*E8*F8</f>
        <v>6.6571162386957372E-2</v>
      </c>
    </row>
    <row r="9" spans="2:7" x14ac:dyDescent="0.25">
      <c r="B9" s="1" t="s">
        <v>7</v>
      </c>
      <c r="C9" s="1">
        <v>80</v>
      </c>
      <c r="D9" s="1">
        <v>1</v>
      </c>
      <c r="E9" s="1">
        <v>1</v>
      </c>
      <c r="F9" s="1">
        <v>1.3</v>
      </c>
      <c r="G9" s="1">
        <f t="shared" ref="G9:G11" si="0">2.56*10^-6*C9^2*D9*E9*F9</f>
        <v>2.1299200000000001E-2</v>
      </c>
    </row>
    <row r="10" spans="2:7" x14ac:dyDescent="0.25">
      <c r="B10" s="1" t="s">
        <v>8</v>
      </c>
      <c r="C10" s="1">
        <v>70</v>
      </c>
      <c r="D10" s="1">
        <v>1</v>
      </c>
      <c r="E10" s="1">
        <v>1</v>
      </c>
      <c r="F10" s="1">
        <v>1.3</v>
      </c>
      <c r="G10" s="1">
        <f t="shared" si="0"/>
        <v>1.6307200000000001E-2</v>
      </c>
    </row>
    <row r="11" spans="2:7" x14ac:dyDescent="0.25">
      <c r="B11" s="1" t="s">
        <v>9</v>
      </c>
      <c r="C11" s="1">
        <f>C8*0.75</f>
        <v>112.5</v>
      </c>
      <c r="D11" s="1">
        <f t="shared" ref="D9:D11" si="1">IF($D$4="B",(2.5*LN($D$5/0.9834)+6.87)^2/345.6,IF($D$4="C",(2.5*LN($D$5/0.0984)+7.35)^2/478.4,(2.5*LN($D$5/0.0164)+7.65)^2/616.1))</f>
        <v>1.0459270108559164</v>
      </c>
      <c r="E11" s="1">
        <v>0.85</v>
      </c>
      <c r="F11" s="1">
        <v>1.3</v>
      </c>
      <c r="G11" s="1">
        <f t="shared" si="0"/>
        <v>3.7446278842663522E-2</v>
      </c>
    </row>
  </sheetData>
  <dataValidations count="1">
    <dataValidation type="list" allowBlank="1" showInputMessage="1" showErrorMessage="1" sqref="D4" xr:uid="{B4A8B5EF-A2F7-493D-80D0-9C0BBC970D7B}">
      <formula1>"B, C, 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 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Mahesh Surla</cp:lastModifiedBy>
  <dcterms:created xsi:type="dcterms:W3CDTF">2015-06-05T18:17:20Z</dcterms:created>
  <dcterms:modified xsi:type="dcterms:W3CDTF">2025-11-28T10:23:57Z</dcterms:modified>
</cp:coreProperties>
</file>